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elson\Documents\Dio.me\Formação Análise de Dados com Excel e IA\Projeto - Ferramenta de controle de investimentos\"/>
    </mc:Choice>
  </mc:AlternateContent>
  <xr:revisionPtr revIDLastSave="0" documentId="13_ncr:1_{76C394D3-CF0C-417C-83E4-FA0D3E38C82E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APP" sheetId="1" r:id="rId1"/>
    <sheet name="tbl_apoio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21" i="1"/>
  <c r="C38" i="1"/>
  <c r="C39" i="1"/>
  <c r="C40" i="1"/>
  <c r="C41" i="1"/>
  <c r="C42" i="1"/>
  <c r="C37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4" i="1"/>
  <c r="D20" i="1"/>
  <c r="C27" i="1"/>
  <c r="D27" i="1" s="1"/>
  <c r="C28" i="1"/>
  <c r="D28" i="1" s="1"/>
  <c r="C29" i="1"/>
  <c r="D29" i="1" s="1"/>
  <c r="C30" i="1"/>
  <c r="D30" i="1" s="1"/>
  <c r="C26" i="1"/>
  <c r="D26" i="1" s="1"/>
  <c r="D23" i="1" l="1"/>
  <c r="D22" i="1"/>
  <c r="D38" i="1"/>
  <c r="D39" i="1"/>
  <c r="D40" i="1"/>
  <c r="D41" i="1"/>
  <c r="D42" i="1"/>
  <c r="D37" i="1"/>
  <c r="D43" i="1" l="1"/>
</calcChain>
</file>

<file path=xl/sharedStrings.xml><?xml version="1.0" encoding="utf-8"?>
<sst xmlns="http://schemas.openxmlformats.org/spreadsheetml/2006/main" count="74" uniqueCount="38">
  <si>
    <t>Quanto investir por mês?</t>
  </si>
  <si>
    <t>Por quantos anos?</t>
  </si>
  <si>
    <t>Taxa de rendimento mensal?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</si>
  <si>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</si>
  <si>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</si>
  <si>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</si>
  <si>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</si>
  <si>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</si>
  <si>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</si>
  <si>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</si>
  <si>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</si>
  <si>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CONFIGURAÇÕES</t>
  </si>
  <si>
    <t>CENÁRIOS</t>
  </si>
  <si>
    <t>DIVIDENDOS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</si>
  <si>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</si>
  <si>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</si>
  <si>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</si>
  <si>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</si>
  <si>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</si>
  <si>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</si>
  <si>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</si>
  <si>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</si>
  <si>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</si>
  <si>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</si>
  <si>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</si>
  <si>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</si>
  <si>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</si>
  <si>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 COMPOSTA</t>
  </si>
  <si>
    <t>Conservador</t>
  </si>
  <si>
    <t>Moderado</t>
  </si>
  <si>
    <t>PATRIMÔNIO</t>
  </si>
  <si>
    <t>Total aportado</t>
  </si>
  <si>
    <t>Patrimônio acumulado</t>
  </si>
  <si>
    <t>Dividendos mensais</t>
  </si>
  <si>
    <t>Ganho acumulado</t>
  </si>
  <si>
    <r>
      <rPr>
        <b/>
        <sz val="16"/>
        <color theme="0"/>
        <rFont val="Segoe UI"/>
        <family val="2"/>
      </rPr>
      <t>Observação:</t>
    </r>
    <r>
      <rPr>
        <b/>
        <sz val="14"/>
        <color theme="0"/>
        <rFont val="Segoe UI"/>
        <family val="2"/>
      </rPr>
      <t xml:space="preserve"> </t>
    </r>
    <r>
      <rPr>
        <sz val="13"/>
        <color theme="0"/>
        <rFont val="Segoe UI"/>
        <family val="2"/>
      </rPr>
      <t>Simulação educacional baseada em taxas constantes; resultados não representam garantia de rentabilidade</t>
    </r>
  </si>
  <si>
    <t>Sugestão de Investimento</t>
  </si>
  <si>
    <t>Filtre seu perfil de investidor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</si>
</sst>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6" formatCode="0.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6"/>
      <color theme="0"/>
      <name val="Segoe UI"/>
      <family val="2"/>
    </font>
    <font>
      <b/>
      <sz val="12"/>
      <color rgb="FF9C5700"/>
      <name val="Segoe UI"/>
      <family val="2"/>
    </font>
    <font>
      <b/>
      <sz val="18"/>
      <color theme="7"/>
      <name val="Segoe UI"/>
      <family val="2"/>
    </font>
    <font>
      <b/>
      <sz val="12"/>
      <color theme="7"/>
      <name val="Segoe UI"/>
      <family val="2"/>
    </font>
    <font>
      <b/>
      <i/>
      <sz val="11"/>
      <color theme="1"/>
      <name val="Calibri"/>
      <family val="2"/>
      <scheme val="minor"/>
    </font>
    <font>
      <b/>
      <sz val="12"/>
      <color theme="5"/>
      <name val="Segoe UI"/>
      <family val="2"/>
    </font>
    <font>
      <b/>
      <sz val="14"/>
      <color theme="0"/>
      <name val="Segoe UI"/>
      <family val="2"/>
    </font>
    <font>
      <sz val="13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164" fontId="6" fillId="2" borderId="12" xfId="0" applyNumberFormat="1" applyFont="1" applyFill="1" applyBorder="1" applyAlignment="1">
      <alignment horizontal="center" vertical="center"/>
    </xf>
    <xf numFmtId="8" fontId="7" fillId="2" borderId="12" xfId="0" applyNumberFormat="1" applyFont="1" applyFill="1" applyBorder="1" applyAlignment="1">
      <alignment horizontal="center" vertical="center"/>
    </xf>
    <xf numFmtId="8" fontId="7" fillId="2" borderId="9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indent="3"/>
    </xf>
    <xf numFmtId="0" fontId="5" fillId="2" borderId="10" xfId="0" applyFont="1" applyFill="1" applyBorder="1" applyAlignment="1">
      <alignment horizontal="left" vertical="center" indent="3"/>
    </xf>
    <xf numFmtId="0" fontId="5" fillId="2" borderId="4" xfId="0" applyFont="1" applyFill="1" applyBorder="1" applyAlignment="1">
      <alignment horizontal="left" vertical="center" indent="3"/>
    </xf>
    <xf numFmtId="0" fontId="8" fillId="2" borderId="0" xfId="0" applyFont="1" applyFill="1" applyAlignment="1">
      <alignment horizontal="left" vertical="center" indent="3"/>
    </xf>
    <xf numFmtId="164" fontId="8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2" borderId="0" xfId="0" applyFont="1" applyFill="1"/>
    <xf numFmtId="164" fontId="8" fillId="2" borderId="0" xfId="0" applyNumberFormat="1" applyFont="1" applyFill="1" applyAlignment="1">
      <alignment vertical="center"/>
    </xf>
    <xf numFmtId="0" fontId="6" fillId="0" borderId="0" xfId="0" applyFont="1"/>
    <xf numFmtId="0" fontId="6" fillId="0" borderId="13" xfId="0" applyFont="1" applyBorder="1" applyAlignment="1">
      <alignment horizontal="center" vertical="center"/>
    </xf>
    <xf numFmtId="9" fontId="6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 indent="3"/>
    </xf>
    <xf numFmtId="0" fontId="5" fillId="2" borderId="8" xfId="0" applyFont="1" applyFill="1" applyBorder="1" applyAlignment="1">
      <alignment horizontal="left" vertical="center" indent="3"/>
    </xf>
    <xf numFmtId="0" fontId="5" fillId="0" borderId="7" xfId="0" applyFont="1" applyBorder="1" applyAlignment="1">
      <alignment horizontal="left" vertical="center" indent="3"/>
    </xf>
    <xf numFmtId="0" fontId="5" fillId="0" borderId="8" xfId="0" applyFont="1" applyBorder="1" applyAlignment="1">
      <alignment horizontal="left" vertical="center" indent="3"/>
    </xf>
    <xf numFmtId="0" fontId="8" fillId="2" borderId="7" xfId="0" applyFont="1" applyFill="1" applyBorder="1" applyAlignment="1">
      <alignment horizontal="left" vertical="center" indent="3"/>
    </xf>
    <xf numFmtId="0" fontId="8" fillId="2" borderId="8" xfId="0" applyFont="1" applyFill="1" applyBorder="1" applyAlignment="1">
      <alignment horizontal="left" vertical="center" indent="3"/>
    </xf>
    <xf numFmtId="0" fontId="8" fillId="2" borderId="10" xfId="0" applyFont="1" applyFill="1" applyBorder="1" applyAlignment="1">
      <alignment horizontal="left" vertical="center" indent="3"/>
    </xf>
    <xf numFmtId="0" fontId="8" fillId="2" borderId="11" xfId="0" applyFont="1" applyFill="1" applyBorder="1" applyAlignment="1">
      <alignment horizontal="left" vertical="center" indent="3"/>
    </xf>
    <xf numFmtId="166" fontId="7" fillId="0" borderId="9" xfId="2" applyNumberFormat="1" applyFont="1" applyBorder="1" applyAlignment="1">
      <alignment horizontal="center" vertical="center"/>
    </xf>
    <xf numFmtId="164" fontId="7" fillId="2" borderId="9" xfId="2" applyNumberFormat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left" vertical="center" indent="25"/>
    </xf>
    <xf numFmtId="0" fontId="11" fillId="4" borderId="15" xfId="0" applyFont="1" applyFill="1" applyBorder="1" applyAlignment="1">
      <alignment horizontal="left" vertical="center" indent="25"/>
    </xf>
    <xf numFmtId="0" fontId="11" fillId="4" borderId="16" xfId="0" applyFont="1" applyFill="1" applyBorder="1" applyAlignment="1">
      <alignment horizontal="left" vertical="center" indent="25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0" xfId="3" applyFont="1" applyFill="1" applyAlignment="1">
      <alignment horizontal="left" vertical="center" indent="3"/>
    </xf>
    <xf numFmtId="0" fontId="5" fillId="2" borderId="0" xfId="0" applyFont="1" applyFill="1" applyBorder="1" applyAlignment="1">
      <alignment horizontal="left" vertical="center" indent="3"/>
    </xf>
    <xf numFmtId="164" fontId="6" fillId="2" borderId="0" xfId="0" applyNumberFormat="1" applyFont="1" applyFill="1" applyBorder="1" applyAlignment="1">
      <alignment horizontal="center" vertical="center"/>
    </xf>
    <xf numFmtId="0" fontId="14" fillId="3" borderId="0" xfId="3" applyFont="1" applyAlignment="1">
      <alignment horizontal="center" vertical="center"/>
    </xf>
    <xf numFmtId="0" fontId="10" fillId="4" borderId="0" xfId="3" applyFont="1" applyFill="1" applyAlignment="1">
      <alignment vertical="center"/>
    </xf>
    <xf numFmtId="0" fontId="12" fillId="4" borderId="0" xfId="0" applyFont="1" applyFill="1" applyAlignment="1">
      <alignment horizontal="center"/>
    </xf>
    <xf numFmtId="0" fontId="15" fillId="4" borderId="17" xfId="3" applyFont="1" applyFill="1" applyBorder="1" applyAlignment="1">
      <alignment horizontal="center" vertical="center" wrapText="1"/>
    </xf>
    <xf numFmtId="0" fontId="15" fillId="4" borderId="18" xfId="3" applyFont="1" applyFill="1" applyBorder="1" applyAlignment="1">
      <alignment horizontal="center" vertical="center" wrapText="1"/>
    </xf>
    <xf numFmtId="0" fontId="15" fillId="4" borderId="19" xfId="3" applyFont="1" applyFill="1" applyBorder="1" applyAlignment="1">
      <alignment horizontal="center" vertical="center" wrapText="1"/>
    </xf>
    <xf numFmtId="10" fontId="7" fillId="0" borderId="9" xfId="0" applyNumberFormat="1" applyFont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indent="3"/>
    </xf>
    <xf numFmtId="9" fontId="8" fillId="2" borderId="2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3"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92D050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C0504D"/>
      <color rgb="FF5B9A72"/>
      <color rgb="FF8064A2"/>
      <color rgb="FF4F81BD"/>
      <color rgb="FFC46A32"/>
      <color rgb="FFD4AF37"/>
      <color rgb="FF249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4AF3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67-424C-9099-96E48B245F70}"/>
              </c:ext>
            </c:extLst>
          </c:dPt>
          <c:dPt>
            <c:idx val="1"/>
            <c:bubble3D val="0"/>
            <c:spPr>
              <a:solidFill>
                <a:srgbClr val="C46A3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967-424C-9099-96E48B245F70}"/>
              </c:ext>
            </c:extLst>
          </c:dPt>
          <c:dPt>
            <c:idx val="2"/>
            <c:bubble3D val="0"/>
            <c:spPr>
              <a:solidFill>
                <a:srgbClr val="4F81BD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67-424C-9099-96E48B245F7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967-424C-9099-96E48B245F70}"/>
              </c:ext>
            </c:extLst>
          </c:dPt>
          <c:dPt>
            <c:idx val="4"/>
            <c:bubble3D val="0"/>
            <c:spPr>
              <a:solidFill>
                <a:srgbClr val="5B9A7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67-424C-9099-96E48B245F70}"/>
              </c:ext>
            </c:extLst>
          </c:dPt>
          <c:dPt>
            <c:idx val="5"/>
            <c:bubble3D val="0"/>
            <c:spPr>
              <a:solidFill>
                <a:srgbClr val="C0504D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967-424C-9099-96E48B245F70}"/>
              </c:ext>
            </c:extLst>
          </c:dPt>
          <c:dLbls>
            <c:delete val="1"/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APP!$D$37:$D$42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7-424C-9099-96E48B245F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600809699272388"/>
          <c:y val="0.89209218922297873"/>
          <c:w val="0.65175813280565964"/>
          <c:h val="9.0432928512320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385763</xdr:colOff>
      <xdr:row>43</xdr:row>
      <xdr:rowOff>223838</xdr:rowOff>
    </xdr:from>
    <xdr:to>
      <xdr:col>4</xdr:col>
      <xdr:colOff>0</xdr:colOff>
      <xdr:row>63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D495613-D7ED-A8F3-853D-39BDE3F42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1</xdr:rowOff>
    </xdr:from>
    <xdr:to>
      <xdr:col>4</xdr:col>
      <xdr:colOff>5796</xdr:colOff>
      <xdr:row>8</xdr:row>
      <xdr:rowOff>219075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3EEE61F-F246-AF30-64CC-3C4C21483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"/>
          <a:ext cx="6720921" cy="1666874"/>
        </a:xfrm>
        <a:prstGeom prst="rect">
          <a:avLst/>
        </a:prstGeom>
      </xdr:spPr>
    </xdr:pic>
    <xdr:clientData/>
  </xdr:twoCellAnchor>
  <xdr:twoCellAnchor editAs="oneCell">
    <xdr:from>
      <xdr:col>2</xdr:col>
      <xdr:colOff>1552576</xdr:colOff>
      <xdr:row>31</xdr:row>
      <xdr:rowOff>224986</xdr:rowOff>
    </xdr:from>
    <xdr:to>
      <xdr:col>2</xdr:col>
      <xdr:colOff>1800225</xdr:colOff>
      <xdr:row>33</xdr:row>
      <xdr:rowOff>28573</xdr:rowOff>
    </xdr:to>
    <xdr:pic>
      <xdr:nvPicPr>
        <xdr:cNvPr id="11" name="Gráfico 10" descr="Filtro com preenchimento sólido">
          <a:extLst>
            <a:ext uri="{FF2B5EF4-FFF2-40B4-BE49-F238E27FC236}">
              <a16:creationId xmlns:a16="http://schemas.microsoft.com/office/drawing/2014/main" id="{8214CE40-35C0-76F7-B32A-2B91F242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86326" y="7111561"/>
          <a:ext cx="247649" cy="298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H66"/>
  <sheetViews>
    <sheetView showGridLines="0" showRowColHeaders="0" tabSelected="1" topLeftCell="A38" zoomScale="80" zoomScaleNormal="80" workbookViewId="0">
      <selection activeCell="E38" sqref="E3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5.77734375" customWidth="1"/>
    <col min="2" max="2" width="42.77734375" bestFit="1" customWidth="1"/>
    <col min="3" max="3" width="32.44140625" bestFit="1" customWidth="1"/>
    <col min="4" max="4" width="22.6640625" bestFit="1" customWidth="1"/>
    <col min="5" max="5" width="5.77734375" customWidth="1"/>
    <col min="6" max="6" width="12.21875" hidden="1" customWidth="1"/>
    <col min="7" max="8" width="12" hidden="1" customWidth="1"/>
    <col min="9" max="10" width="8.88671875" hidden="1" customWidth="1"/>
    <col min="11" max="16383" width="8.88671875" hidden="1"/>
    <col min="16384" max="16384" width="8.88671875" hidden="1" customWidth="1"/>
  </cols>
  <sheetData>
    <row r="9" spans="2:5" ht="19.95" customHeight="1" x14ac:dyDescent="0.3"/>
    <row r="10" spans="2:5" ht="19.95" customHeight="1" thickBot="1" x14ac:dyDescent="0.35"/>
    <row r="11" spans="2:5" ht="27" x14ac:dyDescent="0.3">
      <c r="B11" s="42" t="s">
        <v>11</v>
      </c>
      <c r="C11" s="43"/>
      <c r="D11" s="44"/>
      <c r="E11" s="3"/>
    </row>
    <row r="12" spans="2:5" ht="19.2" x14ac:dyDescent="0.3">
      <c r="B12" s="32" t="s">
        <v>10</v>
      </c>
      <c r="C12" s="33"/>
      <c r="D12" s="14">
        <v>2000</v>
      </c>
      <c r="E12" s="3"/>
    </row>
    <row r="13" spans="2:5" ht="19.2" x14ac:dyDescent="0.3">
      <c r="B13" s="32" t="s">
        <v>9</v>
      </c>
      <c r="C13" s="33"/>
      <c r="D13" s="57">
        <v>6.0000000000000001E-3</v>
      </c>
      <c r="E13" s="3"/>
    </row>
    <row r="14" spans="2:5" ht="19.8" thickBot="1" x14ac:dyDescent="0.35">
      <c r="B14" s="59" t="s">
        <v>36</v>
      </c>
      <c r="C14" s="60">
        <v>0.3</v>
      </c>
      <c r="D14" s="58">
        <f>salario*C14</f>
        <v>600</v>
      </c>
      <c r="E14" s="3"/>
    </row>
    <row r="15" spans="2:5" ht="19.95" customHeight="1" thickBot="1" x14ac:dyDescent="0.35">
      <c r="B15" s="4"/>
      <c r="C15" s="4"/>
      <c r="D15" s="4"/>
      <c r="E15" s="3"/>
    </row>
    <row r="16" spans="2:5" ht="22.8" customHeight="1" x14ac:dyDescent="0.3">
      <c r="B16" s="42" t="s">
        <v>3</v>
      </c>
      <c r="C16" s="43"/>
      <c r="D16" s="44"/>
      <c r="E16" s="3"/>
    </row>
    <row r="17" spans="1:5" ht="18" customHeight="1" x14ac:dyDescent="0.3">
      <c r="B17" s="34" t="s">
        <v>0</v>
      </c>
      <c r="C17" s="35"/>
      <c r="D17" s="14">
        <v>200</v>
      </c>
      <c r="E17" s="3"/>
    </row>
    <row r="18" spans="1:5" ht="18" customHeight="1" x14ac:dyDescent="0.3">
      <c r="B18" s="34" t="s">
        <v>1</v>
      </c>
      <c r="C18" s="35"/>
      <c r="D18" s="13">
        <v>5</v>
      </c>
      <c r="E18" s="3"/>
    </row>
    <row r="19" spans="1:5" ht="18" customHeight="1" x14ac:dyDescent="0.3">
      <c r="B19" s="34" t="s">
        <v>2</v>
      </c>
      <c r="C19" s="35"/>
      <c r="D19" s="40">
        <v>1.0789999999999999E-2</v>
      </c>
      <c r="E19" s="3"/>
    </row>
    <row r="20" spans="1:5" ht="18" customHeight="1" x14ac:dyDescent="0.3">
      <c r="B20" s="36" t="s">
        <v>32</v>
      </c>
      <c r="C20" s="37"/>
      <c r="D20" s="12">
        <f>FV(taxa_mensal,qtd_anos*12,aporte*-1)</f>
        <v>16755.382799697527</v>
      </c>
      <c r="E20" s="3"/>
    </row>
    <row r="21" spans="1:5" ht="18" customHeight="1" x14ac:dyDescent="0.3">
      <c r="B21" s="36" t="s">
        <v>31</v>
      </c>
      <c r="C21" s="37"/>
      <c r="D21" s="41">
        <f>aporte*12*qtd_anos</f>
        <v>12000</v>
      </c>
      <c r="E21" s="3"/>
    </row>
    <row r="22" spans="1:5" ht="18" customHeight="1" x14ac:dyDescent="0.3">
      <c r="B22" s="36" t="s">
        <v>34</v>
      </c>
      <c r="C22" s="37"/>
      <c r="D22" s="41">
        <f>patrimonio-D21</f>
        <v>4755.3827996975269</v>
      </c>
      <c r="E22" s="3"/>
    </row>
    <row r="23" spans="1:5" ht="18" customHeight="1" thickBot="1" x14ac:dyDescent="0.35">
      <c r="B23" s="38" t="s">
        <v>33</v>
      </c>
      <c r="C23" s="39"/>
      <c r="D23" s="11">
        <f>patrimonio*rendimento_carteira</f>
        <v>100.53229679818516</v>
      </c>
      <c r="E23" s="3"/>
    </row>
    <row r="24" spans="1:5" ht="19.95" customHeight="1" thickBot="1" x14ac:dyDescent="0.35">
      <c r="B24" s="4"/>
      <c r="C24" s="4"/>
      <c r="D24" s="4"/>
      <c r="E24" s="3"/>
    </row>
    <row r="25" spans="1:5" ht="22.8" customHeight="1" x14ac:dyDescent="0.3">
      <c r="B25" s="45" t="s">
        <v>12</v>
      </c>
      <c r="C25" s="46" t="s">
        <v>30</v>
      </c>
      <c r="D25" s="47" t="s">
        <v>13</v>
      </c>
      <c r="E25" s="2"/>
    </row>
    <row r="26" spans="1:5" ht="18.600000000000001" customHeight="1" x14ac:dyDescent="0.3">
      <c r="A26" s="1">
        <v>2</v>
      </c>
      <c r="B26" s="17" t="s">
        <v>4</v>
      </c>
      <c r="C26" s="5">
        <f>FV($D$19,$A26*12,$D$17*-1)</f>
        <v>5445.5254595290435</v>
      </c>
      <c r="D26" s="6">
        <f>C26*rendimento_carteira</f>
        <v>32.673152757174265</v>
      </c>
      <c r="E26" s="3"/>
    </row>
    <row r="27" spans="1:5" ht="18.600000000000001" customHeight="1" x14ac:dyDescent="0.3">
      <c r="A27" s="1">
        <v>5</v>
      </c>
      <c r="B27" s="15" t="s">
        <v>5</v>
      </c>
      <c r="C27" s="7">
        <f>FV($D$19,$A27*12,$D$17*-1)</f>
        <v>16755.382799697527</v>
      </c>
      <c r="D27" s="8">
        <f>C27*rendimento_carteira</f>
        <v>100.53229679818516</v>
      </c>
      <c r="E27" s="3"/>
    </row>
    <row r="28" spans="1:5" ht="18.600000000000001" customHeight="1" x14ac:dyDescent="0.3">
      <c r="A28" s="1">
        <v>10</v>
      </c>
      <c r="B28" s="15" t="s">
        <v>6</v>
      </c>
      <c r="C28" s="7">
        <f>FV($D$19,$A28*12,$D$17*-1)</f>
        <v>48656.842506034438</v>
      </c>
      <c r="D28" s="8">
        <f>C28*rendimento_carteira</f>
        <v>291.94105503620665</v>
      </c>
      <c r="E28" s="3"/>
    </row>
    <row r="29" spans="1:5" ht="18.600000000000001" customHeight="1" x14ac:dyDescent="0.3">
      <c r="A29" s="1">
        <v>20</v>
      </c>
      <c r="B29" s="15" t="s">
        <v>7</v>
      </c>
      <c r="C29" s="7">
        <f>FV($D$19,$A29*12,$D$17*-1)</f>
        <v>225039.68001941612</v>
      </c>
      <c r="D29" s="8">
        <f>C29*rendimento_carteira</f>
        <v>1350.2380801164968</v>
      </c>
      <c r="E29" s="3"/>
    </row>
    <row r="30" spans="1:5" ht="18.600000000000001" customHeight="1" thickBot="1" x14ac:dyDescent="0.35">
      <c r="A30" s="1">
        <v>30</v>
      </c>
      <c r="B30" s="16" t="s">
        <v>8</v>
      </c>
      <c r="C30" s="9">
        <f>FV($D$19,$A30*12,$D$17*-1)</f>
        <v>864433.93100094295</v>
      </c>
      <c r="D30" s="10">
        <f>C30*rendimento_carteira</f>
        <v>5186.6035860056581</v>
      </c>
      <c r="E30" s="3"/>
    </row>
    <row r="31" spans="1:5" ht="18.600000000000001" customHeight="1" x14ac:dyDescent="0.3">
      <c r="A31" s="1"/>
      <c r="B31" s="49"/>
      <c r="C31" s="50"/>
      <c r="D31" s="50"/>
      <c r="E31" s="3"/>
    </row>
    <row r="32" spans="1:5" ht="19.95" customHeight="1" x14ac:dyDescent="0.3">
      <c r="C32" s="61" t="s">
        <v>37</v>
      </c>
    </row>
    <row r="33" spans="2:4" ht="19.2" x14ac:dyDescent="0.3">
      <c r="B33" s="48" t="s">
        <v>16</v>
      </c>
      <c r="C33" s="51" t="s">
        <v>29</v>
      </c>
      <c r="D33" s="52"/>
    </row>
    <row r="34" spans="2:4" ht="19.2" x14ac:dyDescent="0.3">
      <c r="B34" s="18" t="s">
        <v>15</v>
      </c>
      <c r="C34" s="19">
        <f>aporte</f>
        <v>200</v>
      </c>
      <c r="D34" s="26"/>
    </row>
    <row r="35" spans="2:4" ht="19.95" customHeight="1" x14ac:dyDescent="0.3"/>
    <row r="36" spans="2:4" ht="19.2" x14ac:dyDescent="0.45">
      <c r="B36" s="53" t="s">
        <v>17</v>
      </c>
      <c r="C36" s="53" t="s">
        <v>18</v>
      </c>
      <c r="D36" s="53" t="s">
        <v>19</v>
      </c>
    </row>
    <row r="37" spans="2:4" ht="19.2" x14ac:dyDescent="0.3">
      <c r="B37" s="22" t="s">
        <v>20</v>
      </c>
      <c r="C37" s="23">
        <f>VLOOKUP($C$33&amp;"-"&amp;B37,tbl_apoio!$A:$D,4,FALSE)</f>
        <v>0.32</v>
      </c>
      <c r="D37" s="24">
        <f>C37*$C$34</f>
        <v>64</v>
      </c>
    </row>
    <row r="38" spans="2:4" ht="19.2" x14ac:dyDescent="0.3">
      <c r="B38" s="22" t="s">
        <v>21</v>
      </c>
      <c r="C38" s="23">
        <f>VLOOKUP($C$33&amp;"-"&amp;B38,tbl_apoio!$A:$D,4,FALSE)</f>
        <v>0.35</v>
      </c>
      <c r="D38" s="24">
        <f t="shared" ref="D38:D42" si="0">C38*$C$34</f>
        <v>70</v>
      </c>
    </row>
    <row r="39" spans="2:4" ht="19.2" x14ac:dyDescent="0.3">
      <c r="B39" s="22" t="s">
        <v>22</v>
      </c>
      <c r="C39" s="23">
        <f>VLOOKUP($C$33&amp;"-"&amp;B39,tbl_apoio!$A:$D,4,FALSE)</f>
        <v>0.08</v>
      </c>
      <c r="D39" s="24">
        <f t="shared" si="0"/>
        <v>16</v>
      </c>
    </row>
    <row r="40" spans="2:4" ht="19.2" x14ac:dyDescent="0.3">
      <c r="B40" s="22" t="s">
        <v>23</v>
      </c>
      <c r="C40" s="23">
        <f>VLOOKUP($C$33&amp;"-"&amp;B40,tbl_apoio!$A:$D,4,FALSE)</f>
        <v>0.05</v>
      </c>
      <c r="D40" s="24">
        <f t="shared" si="0"/>
        <v>10</v>
      </c>
    </row>
    <row r="41" spans="2:4" ht="19.2" x14ac:dyDescent="0.3">
      <c r="B41" s="22" t="s">
        <v>24</v>
      </c>
      <c r="C41" s="23">
        <f>VLOOKUP($C$33&amp;"-"&amp;B41,tbl_apoio!$A:$D,4,FALSE)</f>
        <v>0.1</v>
      </c>
      <c r="D41" s="24">
        <f t="shared" si="0"/>
        <v>20</v>
      </c>
    </row>
    <row r="42" spans="2:4" ht="19.2" x14ac:dyDescent="0.3">
      <c r="B42" s="22" t="s">
        <v>25</v>
      </c>
      <c r="C42" s="23">
        <f>VLOOKUP($C$33&amp;"-"&amp;B42,tbl_apoio!$A:$D,4,FALSE)</f>
        <v>0.1</v>
      </c>
      <c r="D42" s="24">
        <f t="shared" si="0"/>
        <v>20</v>
      </c>
    </row>
    <row r="43" spans="2:4" ht="19.2" x14ac:dyDescent="0.45">
      <c r="B43" s="25"/>
      <c r="C43" s="25"/>
      <c r="D43" s="19">
        <f>SUM(D37:D42)</f>
        <v>200</v>
      </c>
    </row>
    <row r="44" spans="2:4" ht="19.95" customHeigh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2:4" ht="15" thickBot="1" x14ac:dyDescent="0.35"/>
    <row r="66" spans="2:4" ht="43.2" customHeight="1" thickBot="1" x14ac:dyDescent="0.35">
      <c r="B66" s="54" t="s">
        <v>35</v>
      </c>
      <c r="C66" s="55"/>
      <c r="D66" s="56"/>
    </row>
  </sheetData>
  <mergeCells count="12">
    <mergeCell ref="B66:D66"/>
    <mergeCell ref="B11:D11"/>
    <mergeCell ref="B12:C12"/>
    <mergeCell ref="B13:C13"/>
    <mergeCell ref="B17:C17"/>
    <mergeCell ref="B18:C18"/>
    <mergeCell ref="B19:C19"/>
    <mergeCell ref="B20:C20"/>
    <mergeCell ref="B23:C23"/>
    <mergeCell ref="B16:D16"/>
    <mergeCell ref="B21:C21"/>
    <mergeCell ref="B22:C22"/>
  </mergeCells>
  <conditionalFormatting sqref="C33">
    <cfRule type="containsText" dxfId="0" priority="3" operator="containsText" text="Agressivo">
      <formula>NOT(ISERROR(SEARCH("Agressivo",C33)))</formula>
    </cfRule>
    <cfRule type="containsText" dxfId="1" priority="2" operator="containsText" text="Moderado">
      <formula>NOT(ISERROR(SEARCH("Moderado",C33)))</formula>
    </cfRule>
    <cfRule type="containsText" dxfId="2" priority="1" operator="containsText" text="Conservador">
      <formula>NOT(ISERROR(SEARCH("Conservador",C33)))</formula>
    </cfRule>
  </conditionalFormatting>
  <dataValidations count="2">
    <dataValidation type="list" allowBlank="1" showInputMessage="1" showErrorMessage="1" sqref="C33" xr:uid="{2B5CEFD0-4AFE-49EF-8FDC-002C8CB3E71A}">
      <formula1>"Conservador, Moderado, Agressivo"</formula1>
    </dataValidation>
    <dataValidation type="list" allowBlank="1" showInputMessage="1" showErrorMessage="1" sqref="C14" xr:uid="{A8FFA9D0-BE52-41AF-A2B1-751D16FD8AAF}">
      <formula1>"5%, 10%, 15%, 20%, 25%, 30%, 35%, 45%, 50%"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57E8-322F-4494-A85F-B60CA2F658D0}">
  <dimension ref="A2:E20"/>
  <sheetViews>
    <sheetView workbookViewId="0">
      <selection activeCell="D9" sqref="D9:D14"/>
    </sheetView>
  </sheetViews>
  <sheetFormatPr defaultRowHeight="16.8" x14ac:dyDescent="0.4"/>
  <cols>
    <col min="1" max="1" width="31.77734375" style="20" bestFit="1" customWidth="1"/>
    <col min="2" max="2" width="13.44140625" style="20" bestFit="1" customWidth="1"/>
    <col min="3" max="3" width="21.44140625" style="20" bestFit="1" customWidth="1"/>
    <col min="4" max="5" width="8.88671875" style="20"/>
    <col min="6" max="16384" width="8.88671875" style="27"/>
  </cols>
  <sheetData>
    <row r="2" spans="1:4" x14ac:dyDescent="0.4">
      <c r="A2" s="30" t="s">
        <v>27</v>
      </c>
      <c r="B2" s="30" t="s">
        <v>16</v>
      </c>
      <c r="C2" s="20" t="s">
        <v>17</v>
      </c>
      <c r="D2" s="20" t="s">
        <v>26</v>
      </c>
    </row>
    <row r="3" spans="1:4" x14ac:dyDescent="0.4">
      <c r="A3" s="30" t="str">
        <f>B3&amp;"-"&amp;C3</f>
        <v>Conservador-PAPEL</v>
      </c>
      <c r="B3" s="30" t="s">
        <v>28</v>
      </c>
      <c r="C3" s="20" t="s">
        <v>20</v>
      </c>
      <c r="D3" s="21">
        <v>0.3</v>
      </c>
    </row>
    <row r="4" spans="1:4" x14ac:dyDescent="0.4">
      <c r="A4" s="30" t="str">
        <f t="shared" ref="A4:A20" si="0">B4&amp;"-"&amp;C4</f>
        <v>Conservador-TIJOLO</v>
      </c>
      <c r="B4" s="30" t="s">
        <v>28</v>
      </c>
      <c r="C4" s="20" t="s">
        <v>21</v>
      </c>
      <c r="D4" s="21">
        <v>0.5</v>
      </c>
    </row>
    <row r="5" spans="1:4" x14ac:dyDescent="0.4">
      <c r="A5" s="30" t="str">
        <f t="shared" si="0"/>
        <v>Conservador-HÍBRIDOS</v>
      </c>
      <c r="B5" s="30" t="s">
        <v>28</v>
      </c>
      <c r="C5" s="20" t="s">
        <v>22</v>
      </c>
      <c r="D5" s="21">
        <v>0.1</v>
      </c>
    </row>
    <row r="6" spans="1:4" x14ac:dyDescent="0.4">
      <c r="A6" s="30" t="str">
        <f t="shared" si="0"/>
        <v>Conservador-FOFs</v>
      </c>
      <c r="B6" s="30" t="s">
        <v>28</v>
      </c>
      <c r="C6" s="20" t="s">
        <v>23</v>
      </c>
      <c r="D6" s="21">
        <v>0.1</v>
      </c>
    </row>
    <row r="7" spans="1:4" x14ac:dyDescent="0.4">
      <c r="A7" s="30" t="str">
        <f t="shared" si="0"/>
        <v>Conservador-DESENVOLVIMENTO</v>
      </c>
      <c r="B7" s="30" t="s">
        <v>28</v>
      </c>
      <c r="C7" s="20" t="s">
        <v>24</v>
      </c>
      <c r="D7" s="21">
        <v>0</v>
      </c>
    </row>
    <row r="8" spans="1:4" ht="17.399999999999999" thickBot="1" x14ac:dyDescent="0.45">
      <c r="A8" s="31" t="str">
        <f t="shared" si="0"/>
        <v>Conservador-HOTELARIAS</v>
      </c>
      <c r="B8" s="31" t="s">
        <v>28</v>
      </c>
      <c r="C8" s="28" t="s">
        <v>25</v>
      </c>
      <c r="D8" s="29">
        <v>0</v>
      </c>
    </row>
    <row r="9" spans="1:4" x14ac:dyDescent="0.4">
      <c r="A9" s="30" t="str">
        <f t="shared" si="0"/>
        <v>Moderado-PAPEL</v>
      </c>
      <c r="B9" s="30" t="s">
        <v>29</v>
      </c>
      <c r="C9" s="20" t="s">
        <v>20</v>
      </c>
      <c r="D9" s="21">
        <v>0.32</v>
      </c>
    </row>
    <row r="10" spans="1:4" x14ac:dyDescent="0.4">
      <c r="A10" s="30" t="str">
        <f t="shared" si="0"/>
        <v>Moderado-TIJOLO</v>
      </c>
      <c r="B10" s="30" t="s">
        <v>29</v>
      </c>
      <c r="C10" s="20" t="s">
        <v>21</v>
      </c>
      <c r="D10" s="21">
        <v>0.35</v>
      </c>
    </row>
    <row r="11" spans="1:4" x14ac:dyDescent="0.4">
      <c r="A11" s="30" t="str">
        <f t="shared" si="0"/>
        <v>Moderado-HÍBRIDOS</v>
      </c>
      <c r="B11" s="30" t="s">
        <v>29</v>
      </c>
      <c r="C11" s="20" t="s">
        <v>22</v>
      </c>
      <c r="D11" s="21">
        <v>0.08</v>
      </c>
    </row>
    <row r="12" spans="1:4" x14ac:dyDescent="0.4">
      <c r="A12" s="30" t="str">
        <f t="shared" si="0"/>
        <v>Moderado-FOFs</v>
      </c>
      <c r="B12" s="30" t="s">
        <v>29</v>
      </c>
      <c r="C12" s="20" t="s">
        <v>23</v>
      </c>
      <c r="D12" s="21">
        <v>0.05</v>
      </c>
    </row>
    <row r="13" spans="1:4" x14ac:dyDescent="0.4">
      <c r="A13" s="30" t="str">
        <f t="shared" si="0"/>
        <v>Moderado-DESENVOLVIMENTO</v>
      </c>
      <c r="B13" s="30" t="s">
        <v>29</v>
      </c>
      <c r="C13" s="20" t="s">
        <v>24</v>
      </c>
      <c r="D13" s="21">
        <v>0.1</v>
      </c>
    </row>
    <row r="14" spans="1:4" ht="17.399999999999999" thickBot="1" x14ac:dyDescent="0.45">
      <c r="A14" s="31" t="str">
        <f t="shared" si="0"/>
        <v>Moderado-HOTELARIAS</v>
      </c>
      <c r="B14" s="31" t="s">
        <v>29</v>
      </c>
      <c r="C14" s="28" t="s">
        <v>25</v>
      </c>
      <c r="D14" s="29">
        <v>0.1</v>
      </c>
    </row>
    <row r="15" spans="1:4" x14ac:dyDescent="0.4">
      <c r="A15" s="30" t="str">
        <f t="shared" si="0"/>
        <v>Agressivo-PAPEL</v>
      </c>
      <c r="B15" s="30" t="s">
        <v>14</v>
      </c>
      <c r="C15" s="20" t="s">
        <v>20</v>
      </c>
      <c r="D15" s="21">
        <v>0.5</v>
      </c>
    </row>
    <row r="16" spans="1:4" x14ac:dyDescent="0.4">
      <c r="A16" s="30" t="str">
        <f t="shared" si="0"/>
        <v>Agressivo-TIJOLO</v>
      </c>
      <c r="B16" s="30" t="s">
        <v>14</v>
      </c>
      <c r="C16" s="20" t="s">
        <v>21</v>
      </c>
      <c r="D16" s="21">
        <v>0.1</v>
      </c>
    </row>
    <row r="17" spans="1:4" x14ac:dyDescent="0.4">
      <c r="A17" s="30" t="str">
        <f t="shared" si="0"/>
        <v>Agressivo-HÍBRIDOS</v>
      </c>
      <c r="B17" s="30" t="s">
        <v>14</v>
      </c>
      <c r="C17" s="20" t="s">
        <v>22</v>
      </c>
      <c r="D17" s="21">
        <v>0.05</v>
      </c>
    </row>
    <row r="18" spans="1:4" x14ac:dyDescent="0.4">
      <c r="A18" s="30" t="str">
        <f t="shared" si="0"/>
        <v>Agressivo-FOFs</v>
      </c>
      <c r="B18" s="30" t="s">
        <v>14</v>
      </c>
      <c r="C18" s="20" t="s">
        <v>23</v>
      </c>
      <c r="D18" s="21">
        <v>0.05</v>
      </c>
    </row>
    <row r="19" spans="1:4" x14ac:dyDescent="0.4">
      <c r="A19" s="30" t="str">
        <f t="shared" si="0"/>
        <v>Agressivo-DESENVOLVIMENTO</v>
      </c>
      <c r="B19" s="30" t="s">
        <v>14</v>
      </c>
      <c r="C19" s="20" t="s">
        <v>24</v>
      </c>
      <c r="D19" s="21">
        <v>0.2</v>
      </c>
    </row>
    <row r="20" spans="1:4" x14ac:dyDescent="0.4">
      <c r="A20" s="30" t="str">
        <f t="shared" si="0"/>
        <v>Agressivo-HOTELARIAS</v>
      </c>
      <c r="B20" s="30" t="s">
        <v>14</v>
      </c>
      <c r="C20" s="20" t="s">
        <v>25</v>
      </c>
      <c r="D20" s="2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tbl_apoio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 Nobre</dc:creator>
  <cp:lastModifiedBy>Adelson Nobre</cp:lastModifiedBy>
  <dcterms:created xsi:type="dcterms:W3CDTF">2015-06-05T18:17:20Z</dcterms:created>
  <dcterms:modified xsi:type="dcterms:W3CDTF">2026-09-20T21:27:29Z</dcterms:modified>
</cp:coreProperties>
</file>